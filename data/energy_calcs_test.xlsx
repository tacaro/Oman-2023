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Oman-2023/data/"/>
    </mc:Choice>
  </mc:AlternateContent>
  <xr:revisionPtr revIDLastSave="0" documentId="13_ncr:1_{6367DE31-612B-4143-83C3-A347438D6EF3}" xr6:coauthVersionLast="47" xr6:coauthVersionMax="47" xr10:uidLastSave="{00000000-0000-0000-0000-000000000000}"/>
  <bookViews>
    <workbookView xWindow="0" yWindow="760" windowWidth="30240" windowHeight="18880" xr2:uid="{8F696B31-6E43-4943-9230-EFFA872EF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  <c r="E17" i="1"/>
  <c r="D17" i="1"/>
  <c r="B17" i="1"/>
  <c r="B11" i="1"/>
  <c r="B2" i="1"/>
  <c r="D2" i="1" s="1"/>
  <c r="E2" i="1" s="1"/>
  <c r="B7" i="1" s="1"/>
  <c r="C7" i="1" s="1"/>
  <c r="D7" i="1" s="1"/>
  <c r="E7" i="1" s="1"/>
</calcChain>
</file>

<file path=xl/sharedStrings.xml><?xml version="1.0" encoding="utf-8"?>
<sst xmlns="http://schemas.openxmlformats.org/spreadsheetml/2006/main" count="26" uniqueCount="18">
  <si>
    <t>J per tonne H2</t>
  </si>
  <si>
    <t>J per g H2</t>
  </si>
  <si>
    <t>g/mol H2</t>
  </si>
  <si>
    <t>J/mol H2</t>
  </si>
  <si>
    <t>kJ/mol H2</t>
  </si>
  <si>
    <t>kJ/mol CH4</t>
  </si>
  <si>
    <t>if we take above value as representing kj/mol CH4</t>
  </si>
  <si>
    <t>by stoichiometry of 4H2 --&gt; 1 CH4</t>
  </si>
  <si>
    <t>1kJ = 1000 J</t>
  </si>
  <si>
    <t>2g/mol</t>
  </si>
  <si>
    <t>1e6 g per tonne</t>
  </si>
  <si>
    <t>J per tonne H2 reported</t>
  </si>
  <si>
    <t>J/g H2</t>
  </si>
  <si>
    <t>J/tonne H2</t>
  </si>
  <si>
    <t>Converting canovas to J/tonne H2</t>
  </si>
  <si>
    <t>kcal/mol e-</t>
  </si>
  <si>
    <t>kJ/mol e-</t>
  </si>
  <si>
    <t>e- per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</si>
</sst>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6" formatCode="0.000E+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wrapText="1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58F1-0A3B-0947-AA42-B0E27BF6B20A}">
  <dimension ref="A1:H17"/>
  <sheetViews>
    <sheetView tabSelected="1" workbookViewId="0">
      <selection activeCell="H17" sqref="H17"/>
    </sheetView>
  </sheetViews>
  <sheetFormatPr baseColWidth="10" defaultRowHeight="16" x14ac:dyDescent="0.2"/>
  <cols>
    <col min="1" max="1" width="21.5" customWidth="1"/>
    <col min="2" max="2" width="17.83203125" customWidth="1"/>
    <col min="8" max="8" width="12.1640625" bestFit="1" customWidth="1"/>
  </cols>
  <sheetData>
    <row r="1" spans="1:8" x14ac:dyDescent="0.2">
      <c r="A1" s="5" t="s">
        <v>11</v>
      </c>
      <c r="B1" s="5" t="s">
        <v>1</v>
      </c>
      <c r="C1" s="5" t="s">
        <v>2</v>
      </c>
      <c r="D1" s="5" t="s">
        <v>3</v>
      </c>
      <c r="E1" s="5" t="s">
        <v>4</v>
      </c>
    </row>
    <row r="2" spans="1:8" x14ac:dyDescent="0.2">
      <c r="A2" s="1">
        <v>23930000000</v>
      </c>
      <c r="B2" s="1">
        <f>A2*(1/1000000)</f>
        <v>23930</v>
      </c>
      <c r="C2">
        <v>2</v>
      </c>
      <c r="D2" s="1">
        <f>B2*C2</f>
        <v>47860</v>
      </c>
      <c r="E2" s="6">
        <f>D2*(1/1000)</f>
        <v>47.86</v>
      </c>
    </row>
    <row r="5" spans="1:8" ht="34" x14ac:dyDescent="0.2">
      <c r="A5" s="4" t="s">
        <v>5</v>
      </c>
      <c r="B5" s="4" t="s">
        <v>4</v>
      </c>
      <c r="C5" s="4" t="s">
        <v>3</v>
      </c>
      <c r="D5" s="4" t="s">
        <v>1</v>
      </c>
      <c r="E5" s="4" t="s">
        <v>0</v>
      </c>
      <c r="H5" s="1"/>
    </row>
    <row r="6" spans="1:8" ht="34" x14ac:dyDescent="0.2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8" x14ac:dyDescent="0.2">
      <c r="A7" s="2">
        <v>47.86</v>
      </c>
      <c r="B7" s="7">
        <f>E2*(1/4)</f>
        <v>11.965</v>
      </c>
      <c r="C7" s="3">
        <f>B7*1000</f>
        <v>11965</v>
      </c>
      <c r="D7" s="3">
        <f>C7*(1/2)</f>
        <v>5982.5</v>
      </c>
      <c r="E7" s="3">
        <f>D7*1000000</f>
        <v>5982500000</v>
      </c>
    </row>
    <row r="10" spans="1:8" x14ac:dyDescent="0.2">
      <c r="A10" t="s">
        <v>12</v>
      </c>
      <c r="B10" t="s">
        <v>13</v>
      </c>
    </row>
    <row r="11" spans="1:8" x14ac:dyDescent="0.2">
      <c r="A11">
        <v>23920</v>
      </c>
      <c r="B11" s="8">
        <f>A11*1000000</f>
        <v>23920000000</v>
      </c>
    </row>
    <row r="15" spans="1:8" x14ac:dyDescent="0.2">
      <c r="A15" s="5" t="s">
        <v>14</v>
      </c>
    </row>
    <row r="16" spans="1:8" x14ac:dyDescent="0.2">
      <c r="A16" t="s">
        <v>15</v>
      </c>
      <c r="B16" t="s">
        <v>16</v>
      </c>
      <c r="C16" t="s">
        <v>17</v>
      </c>
      <c r="D16" t="s">
        <v>4</v>
      </c>
      <c r="E16" t="s">
        <v>3</v>
      </c>
      <c r="F16" t="s">
        <v>2</v>
      </c>
      <c r="G16" t="s">
        <v>12</v>
      </c>
      <c r="H16" t="s">
        <v>13</v>
      </c>
    </row>
    <row r="17" spans="1:8" x14ac:dyDescent="0.2">
      <c r="A17">
        <v>3</v>
      </c>
      <c r="B17">
        <f>A17*4.184</f>
        <v>12.552</v>
      </c>
      <c r="C17">
        <v>2</v>
      </c>
      <c r="D17">
        <f>B17*C17</f>
        <v>25.103999999999999</v>
      </c>
      <c r="E17">
        <f>D17*1000</f>
        <v>25104</v>
      </c>
      <c r="F17">
        <v>2</v>
      </c>
      <c r="G17">
        <f>E17/F17</f>
        <v>12552</v>
      </c>
      <c r="H17" s="9">
        <f>G17*1000000</f>
        <v>12552000000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2025-05-17T20:57:28Z</dcterms:created>
  <dcterms:modified xsi:type="dcterms:W3CDTF">2025-08-20T23:57:47Z</dcterms:modified>
</cp:coreProperties>
</file>