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caro/Documents/GitHub/Oman-2023/data_output/"/>
    </mc:Choice>
  </mc:AlternateContent>
  <xr:revisionPtr revIDLastSave="0" documentId="13_ncr:1_{B134E1FD-8F8A-D741-B5B2-5903EB9495F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" i="1" l="1"/>
  <c r="L17" i="1"/>
  <c r="L18" i="1"/>
  <c r="L19" i="1"/>
  <c r="L20" i="1"/>
  <c r="L21" i="1"/>
  <c r="L22" i="1"/>
  <c r="L23" i="1"/>
  <c r="L15" i="1"/>
  <c r="J15" i="1"/>
  <c r="K16" i="1"/>
  <c r="K17" i="1"/>
  <c r="K18" i="1"/>
  <c r="K19" i="1"/>
  <c r="K20" i="1"/>
  <c r="K21" i="1"/>
  <c r="K22" i="1"/>
  <c r="K23" i="1"/>
  <c r="K15" i="1"/>
  <c r="J16" i="1"/>
  <c r="J17" i="1"/>
  <c r="J18" i="1"/>
  <c r="J19" i="1"/>
  <c r="J20" i="1"/>
  <c r="J21" i="1"/>
  <c r="J22" i="1"/>
  <c r="J23" i="1"/>
  <c r="F16" i="1"/>
  <c r="F17" i="1"/>
  <c r="F18" i="1"/>
  <c r="F19" i="1"/>
  <c r="F20" i="1"/>
  <c r="F21" i="1"/>
  <c r="F22" i="1"/>
  <c r="F23" i="1"/>
  <c r="F15" i="1"/>
</calcChain>
</file>

<file path=xl/sharedStrings.xml><?xml version="1.0" encoding="utf-8"?>
<sst xmlns="http://schemas.openxmlformats.org/spreadsheetml/2006/main" count="68" uniqueCount="31">
  <si>
    <t>well</t>
  </si>
  <si>
    <t>depth</t>
  </si>
  <si>
    <t>ambient_uM_acetate</t>
  </si>
  <si>
    <t>ambient_uM_bicarbonate</t>
  </si>
  <si>
    <t>ambient_uM_formate</t>
  </si>
  <si>
    <t>effective_uM_acetate</t>
  </si>
  <si>
    <t>effective_uM_bicarbonate</t>
  </si>
  <si>
    <t>effective_uM_formate</t>
  </si>
  <si>
    <t>effective_at13C_acetate</t>
  </si>
  <si>
    <t>effective_at13C_bicarbonate</t>
  </si>
  <si>
    <t>effective_at13C_formate</t>
  </si>
  <si>
    <t>moles_pre_acetate</t>
  </si>
  <si>
    <t>moles_pre_bicarbonate</t>
  </si>
  <si>
    <t>moles_pre_formate</t>
  </si>
  <si>
    <t>moles_spike_acetate</t>
  </si>
  <si>
    <t>moles_spike_bicarbonate</t>
  </si>
  <si>
    <t>moles_spike_formate</t>
  </si>
  <si>
    <t>moles_total_acetate</t>
  </si>
  <si>
    <t>moles_total_bicarbonate</t>
  </si>
  <si>
    <t>moles_total_formate</t>
  </si>
  <si>
    <t>BA1B</t>
  </si>
  <si>
    <t>20</t>
  </si>
  <si>
    <t>150</t>
  </si>
  <si>
    <t>250</t>
  </si>
  <si>
    <t>BA4A</t>
  </si>
  <si>
    <t>270</t>
  </si>
  <si>
    <t>BA3A</t>
  </si>
  <si>
    <t>moles_pre_total_12C</t>
  </si>
  <si>
    <t>total_moles_w_formate_added</t>
  </si>
  <si>
    <t>total_moles_w_acetate_added</t>
  </si>
  <si>
    <t>total_moles_w_bicarb_added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</si>
</sst>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workbookViewId="0">
      <selection activeCell="L15" sqref="L15:L23"/>
    </sheetView>
  </sheetViews>
  <sheetFormatPr baseColWidth="10" defaultColWidth="8.83203125" defaultRowHeight="15" x14ac:dyDescent="0.2"/>
  <cols>
    <col min="2" max="2" width="5.83203125" bestFit="1" customWidth="1"/>
    <col min="3" max="3" width="18" bestFit="1" customWidth="1"/>
    <col min="4" max="4" width="21.6640625" bestFit="1" customWidth="1"/>
    <col min="5" max="6" width="18.33203125" bestFit="1" customWidth="1"/>
    <col min="7" max="7" width="22" bestFit="1" customWidth="1"/>
    <col min="8" max="8" width="18.6640625" bestFit="1" customWidth="1"/>
    <col min="9" max="9" width="20.1640625" bestFit="1" customWidth="1"/>
    <col min="10" max="10" width="25.1640625" bestFit="1" customWidth="1"/>
    <col min="11" max="11" width="25.5" bestFit="1" customWidth="1"/>
    <col min="12" max="12" width="24.1640625" bestFit="1" customWidth="1"/>
    <col min="13" max="13" width="19.6640625" bestFit="1" customWidth="1"/>
    <col min="14" max="14" width="16.5" bestFit="1" customWidth="1"/>
    <col min="15" max="15" width="17.5" bestFit="1" customWidth="1"/>
    <col min="16" max="16" width="21" bestFit="1" customWidth="1"/>
    <col min="17" max="17" width="17.83203125" bestFit="1" customWidth="1"/>
    <col min="18" max="18" width="17.1640625" bestFit="1" customWidth="1"/>
    <col min="19" max="19" width="20.6640625" bestFit="1" customWidth="1"/>
    <col min="20" max="20" width="17.5" bestFit="1" customWidth="1"/>
  </cols>
  <sheetData>
    <row r="1" spans="1:2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>
        <v>1098.02</v>
      </c>
      <c r="D2">
        <v>949.684829702466</v>
      </c>
      <c r="E2">
        <v>0</v>
      </c>
      <c r="F2">
        <v>1137.0398</v>
      </c>
      <c r="G2">
        <v>6940.187981405441</v>
      </c>
      <c r="H2">
        <v>50</v>
      </c>
      <c r="I2">
        <v>5.4104294303789544</v>
      </c>
      <c r="J2">
        <v>85.742135186726316</v>
      </c>
      <c r="K2">
        <v>98.999999999999986</v>
      </c>
      <c r="L2">
        <v>5.435199000000001E-5</v>
      </c>
      <c r="M2">
        <v>4.7009399070272057E-5</v>
      </c>
      <c r="N2">
        <v>0</v>
      </c>
      <c r="O2">
        <v>2.5000000000000002E-6</v>
      </c>
      <c r="P2">
        <v>2.9999999999999997E-4</v>
      </c>
      <c r="Q2">
        <v>2.5000000000000002E-6</v>
      </c>
      <c r="R2">
        <v>5.685199000000001E-5</v>
      </c>
      <c r="S2">
        <v>3.4700939907027212E-4</v>
      </c>
      <c r="T2">
        <v>2.5000000000000002E-6</v>
      </c>
    </row>
    <row r="3" spans="1:20" x14ac:dyDescent="0.2">
      <c r="A3" t="s">
        <v>20</v>
      </c>
      <c r="B3" t="s">
        <v>22</v>
      </c>
      <c r="C3">
        <v>190.63</v>
      </c>
      <c r="D3">
        <v>1734.4017472543401</v>
      </c>
      <c r="E3">
        <v>0.44000000000000011</v>
      </c>
      <c r="F3">
        <v>238.72370000000001</v>
      </c>
      <c r="G3">
        <v>7717.0577297817963</v>
      </c>
      <c r="H3">
        <v>50.435599999999987</v>
      </c>
      <c r="I3">
        <v>21.609334485617889</v>
      </c>
      <c r="J3">
        <v>77.216907973520136</v>
      </c>
      <c r="K3">
        <v>98.154510233811038</v>
      </c>
      <c r="L3">
        <v>9.4361850000000002E-6</v>
      </c>
      <c r="M3">
        <v>8.5852886489089835E-5</v>
      </c>
      <c r="N3">
        <v>2.178E-8</v>
      </c>
      <c r="O3">
        <v>2.5000000000000002E-6</v>
      </c>
      <c r="P3">
        <v>2.9999999999999997E-4</v>
      </c>
      <c r="Q3">
        <v>2.5000000000000002E-6</v>
      </c>
      <c r="R3">
        <v>1.1936185E-5</v>
      </c>
      <c r="S3">
        <v>3.8585288648908982E-4</v>
      </c>
      <c r="T3">
        <v>2.52178E-6</v>
      </c>
    </row>
    <row r="4" spans="1:20" x14ac:dyDescent="0.2">
      <c r="A4" t="s">
        <v>20</v>
      </c>
      <c r="B4" t="s">
        <v>23</v>
      </c>
      <c r="C4">
        <v>443.74</v>
      </c>
      <c r="D4">
        <v>2386.4587849064901</v>
      </c>
      <c r="E4">
        <v>0</v>
      </c>
      <c r="F4">
        <v>489.30259999999993</v>
      </c>
      <c r="G4">
        <v>8362.594197057424</v>
      </c>
      <c r="H4">
        <v>50</v>
      </c>
      <c r="I4">
        <v>11.109097085037771</v>
      </c>
      <c r="J4">
        <v>71.342068918830705</v>
      </c>
      <c r="K4">
        <v>98.999999999999986</v>
      </c>
      <c r="L4">
        <v>2.196513E-5</v>
      </c>
      <c r="M4">
        <v>1.1812970985287121E-4</v>
      </c>
      <c r="N4">
        <v>0</v>
      </c>
      <c r="O4">
        <v>2.5000000000000002E-6</v>
      </c>
      <c r="P4">
        <v>2.9999999999999997E-4</v>
      </c>
      <c r="Q4">
        <v>2.5000000000000002E-6</v>
      </c>
      <c r="R4">
        <v>2.4465129999999999E-5</v>
      </c>
      <c r="S4">
        <v>4.1812970985287119E-4</v>
      </c>
      <c r="T4">
        <v>2.5000000000000002E-6</v>
      </c>
    </row>
    <row r="5" spans="1:20" x14ac:dyDescent="0.2">
      <c r="A5" t="s">
        <v>24</v>
      </c>
      <c r="B5" t="s">
        <v>21</v>
      </c>
      <c r="C5">
        <v>0.33</v>
      </c>
      <c r="D5">
        <v>1803.11817339902</v>
      </c>
      <c r="E5">
        <v>0</v>
      </c>
      <c r="F5">
        <v>50.326700000000002</v>
      </c>
      <c r="G5">
        <v>2785.086991665029</v>
      </c>
      <c r="H5">
        <v>50</v>
      </c>
      <c r="I5">
        <v>98.364510533400747</v>
      </c>
      <c r="J5">
        <v>36.24884477096424</v>
      </c>
      <c r="K5">
        <v>98.999999999999986</v>
      </c>
      <c r="L5">
        <v>1.6335E-8</v>
      </c>
      <c r="M5">
        <v>8.9254349583251489E-5</v>
      </c>
      <c r="N5">
        <v>0</v>
      </c>
      <c r="O5">
        <v>2.5000000000000002E-6</v>
      </c>
      <c r="P5">
        <v>5.0000000000000002E-5</v>
      </c>
      <c r="Q5">
        <v>2.5000000000000002E-6</v>
      </c>
      <c r="R5">
        <v>2.5163349999999999E-6</v>
      </c>
      <c r="S5">
        <v>1.3925434958325151E-4</v>
      </c>
      <c r="T5">
        <v>2.5000000000000002E-6</v>
      </c>
    </row>
    <row r="6" spans="1:20" x14ac:dyDescent="0.2">
      <c r="A6" t="s">
        <v>24</v>
      </c>
      <c r="B6" t="s">
        <v>22</v>
      </c>
      <c r="C6">
        <v>1.1000000000000001</v>
      </c>
      <c r="D6">
        <v>891.78697590730303</v>
      </c>
      <c r="E6">
        <v>0.55000000000000004</v>
      </c>
      <c r="F6">
        <v>51.088999999999999</v>
      </c>
      <c r="G6">
        <v>1882.86910614823</v>
      </c>
      <c r="H6">
        <v>50.544500000000014</v>
      </c>
      <c r="I6">
        <v>96.913308948521205</v>
      </c>
      <c r="J6">
        <v>53.093406583908262</v>
      </c>
      <c r="K6">
        <v>97.945414841090511</v>
      </c>
      <c r="L6">
        <v>5.4450000000000008E-8</v>
      </c>
      <c r="M6">
        <v>4.4143455307411498E-5</v>
      </c>
      <c r="N6">
        <v>2.7225000000000001E-8</v>
      </c>
      <c r="O6">
        <v>2.5000000000000002E-6</v>
      </c>
      <c r="P6">
        <v>5.0000000000000002E-5</v>
      </c>
      <c r="Q6">
        <v>2.5000000000000002E-6</v>
      </c>
      <c r="R6">
        <v>2.5544500000000002E-6</v>
      </c>
      <c r="S6">
        <v>9.4143455307411493E-5</v>
      </c>
      <c r="T6">
        <v>2.5272250000000002E-6</v>
      </c>
    </row>
    <row r="7" spans="1:20" x14ac:dyDescent="0.2">
      <c r="A7" t="s">
        <v>24</v>
      </c>
      <c r="B7" t="s">
        <v>25</v>
      </c>
      <c r="C7">
        <v>1.43</v>
      </c>
      <c r="D7">
        <v>1686.5428504757299</v>
      </c>
      <c r="E7">
        <v>0.77</v>
      </c>
      <c r="F7">
        <v>51.415700000000001</v>
      </c>
      <c r="G7">
        <v>2669.6774219709719</v>
      </c>
      <c r="H7">
        <v>50.762300000000003</v>
      </c>
      <c r="I7">
        <v>96.304538363424001</v>
      </c>
      <c r="J7">
        <v>37.768319105756873</v>
      </c>
      <c r="K7">
        <v>97.529915480774122</v>
      </c>
      <c r="L7">
        <v>7.0785000000000008E-8</v>
      </c>
      <c r="M7">
        <v>8.3483871098548627E-5</v>
      </c>
      <c r="N7">
        <v>3.8115000000000001E-8</v>
      </c>
      <c r="O7">
        <v>2.5000000000000002E-6</v>
      </c>
      <c r="P7">
        <v>5.0000000000000002E-5</v>
      </c>
      <c r="Q7">
        <v>2.5000000000000002E-6</v>
      </c>
      <c r="R7">
        <v>2.5707849999999998E-6</v>
      </c>
      <c r="S7">
        <v>1.334838710985486E-4</v>
      </c>
      <c r="T7">
        <v>2.5381150000000001E-6</v>
      </c>
    </row>
    <row r="8" spans="1:20" x14ac:dyDescent="0.2">
      <c r="A8" t="s">
        <v>26</v>
      </c>
      <c r="B8" t="s">
        <v>21</v>
      </c>
      <c r="C8">
        <v>1.32</v>
      </c>
      <c r="D8">
        <v>111.561330867387</v>
      </c>
      <c r="E8">
        <v>0.55000000000000004</v>
      </c>
      <c r="F8">
        <v>51.306800000000003</v>
      </c>
      <c r="G8">
        <v>210.44571755871311</v>
      </c>
      <c r="H8">
        <v>50.544500000000014</v>
      </c>
      <c r="I8">
        <v>96.506600470994101</v>
      </c>
      <c r="J8">
        <v>47.622673982953827</v>
      </c>
      <c r="K8">
        <v>97.945414841090511</v>
      </c>
      <c r="L8">
        <v>6.5340000000000001E-8</v>
      </c>
      <c r="M8">
        <v>5.5222858779356563E-6</v>
      </c>
      <c r="N8">
        <v>2.7225000000000001E-8</v>
      </c>
      <c r="O8">
        <v>2.5000000000000002E-6</v>
      </c>
      <c r="P8">
        <v>5.0000000000000004E-6</v>
      </c>
      <c r="Q8">
        <v>2.5000000000000002E-6</v>
      </c>
      <c r="R8">
        <v>2.5653400000000001E-6</v>
      </c>
      <c r="S8">
        <v>1.052228587793566E-5</v>
      </c>
      <c r="T8">
        <v>2.5272250000000002E-6</v>
      </c>
    </row>
    <row r="9" spans="1:20" x14ac:dyDescent="0.2">
      <c r="A9" t="s">
        <v>26</v>
      </c>
      <c r="B9" t="s">
        <v>22</v>
      </c>
      <c r="C9">
        <v>1.76</v>
      </c>
      <c r="D9">
        <v>48.215378830534803</v>
      </c>
      <c r="E9">
        <v>0.88000000000000012</v>
      </c>
      <c r="F9">
        <v>51.742400000000004</v>
      </c>
      <c r="G9">
        <v>147.73322504222941</v>
      </c>
      <c r="H9">
        <v>50.871200000000002</v>
      </c>
      <c r="I9">
        <v>95.703455297659161</v>
      </c>
      <c r="J9">
        <v>67.366301327910293</v>
      </c>
      <c r="K9">
        <v>97.323499990108346</v>
      </c>
      <c r="L9">
        <v>8.7120000000000015E-8</v>
      </c>
      <c r="M9">
        <v>2.3866612521114729E-6</v>
      </c>
      <c r="N9">
        <v>4.3560000000000008E-8</v>
      </c>
      <c r="O9">
        <v>2.5000000000000002E-6</v>
      </c>
      <c r="P9">
        <v>5.0000000000000004E-6</v>
      </c>
      <c r="Q9">
        <v>2.5000000000000002E-6</v>
      </c>
      <c r="R9">
        <v>2.5871199999999999E-6</v>
      </c>
      <c r="S9">
        <v>7.3866612521114716E-6</v>
      </c>
      <c r="T9">
        <v>2.5435599999999998E-6</v>
      </c>
    </row>
    <row r="10" spans="1:20" x14ac:dyDescent="0.2">
      <c r="A10" t="s">
        <v>26</v>
      </c>
      <c r="B10" t="s">
        <v>25</v>
      </c>
      <c r="C10">
        <v>0.9900000000000001</v>
      </c>
      <c r="D10">
        <v>29.884075411089299</v>
      </c>
      <c r="E10">
        <v>0.88000000000000012</v>
      </c>
      <c r="F10">
        <v>50.980099999999993</v>
      </c>
      <c r="G10">
        <v>129.5852346569784</v>
      </c>
      <c r="H10">
        <v>50.871200000000002</v>
      </c>
      <c r="I10">
        <v>97.117966359106802</v>
      </c>
      <c r="J10">
        <v>76.647575192171431</v>
      </c>
      <c r="K10">
        <v>97.323499990108346</v>
      </c>
      <c r="L10">
        <v>4.9005000000000008E-8</v>
      </c>
      <c r="M10">
        <v>1.47926173284892E-6</v>
      </c>
      <c r="N10">
        <v>4.3560000000000008E-8</v>
      </c>
      <c r="O10">
        <v>2.5000000000000002E-6</v>
      </c>
      <c r="P10">
        <v>5.0000000000000004E-6</v>
      </c>
      <c r="Q10">
        <v>2.5000000000000002E-6</v>
      </c>
      <c r="R10">
        <v>2.549005E-6</v>
      </c>
      <c r="S10">
        <v>6.4792617328489206E-6</v>
      </c>
      <c r="T10">
        <v>2.5435599999999998E-6</v>
      </c>
    </row>
    <row r="14" spans="1:20" x14ac:dyDescent="0.2">
      <c r="A14" s="1" t="s">
        <v>0</v>
      </c>
      <c r="B14" s="1" t="s">
        <v>1</v>
      </c>
      <c r="C14" s="1" t="s">
        <v>11</v>
      </c>
      <c r="D14" s="1" t="s">
        <v>12</v>
      </c>
      <c r="E14" s="1" t="s">
        <v>13</v>
      </c>
      <c r="F14" s="1" t="s">
        <v>27</v>
      </c>
      <c r="G14" s="1" t="s">
        <v>14</v>
      </c>
      <c r="H14" s="1" t="s">
        <v>15</v>
      </c>
      <c r="I14" s="1" t="s">
        <v>16</v>
      </c>
      <c r="J14" s="1" t="s">
        <v>29</v>
      </c>
      <c r="K14" s="1" t="s">
        <v>28</v>
      </c>
      <c r="L14" s="1" t="s">
        <v>30</v>
      </c>
    </row>
    <row r="15" spans="1:20" x14ac:dyDescent="0.2">
      <c r="A15" t="s">
        <v>20</v>
      </c>
      <c r="B15" t="s">
        <v>21</v>
      </c>
      <c r="C15">
        <v>5.435199000000001E-5</v>
      </c>
      <c r="D15">
        <v>4.7009399070272057E-5</v>
      </c>
      <c r="E15">
        <v>0</v>
      </c>
      <c r="F15">
        <f>SUM(C15:E15)</f>
        <v>1.0136138907027207E-4</v>
      </c>
      <c r="G15">
        <v>2.5000000000000002E-6</v>
      </c>
      <c r="H15">
        <v>2.9999999999999997E-4</v>
      </c>
      <c r="I15">
        <v>2.5000000000000002E-6</v>
      </c>
      <c r="J15">
        <f>F15+G15</f>
        <v>1.0386138907027208E-4</v>
      </c>
      <c r="K15">
        <f>I15+F15</f>
        <v>1.0386138907027208E-4</v>
      </c>
      <c r="L15">
        <f>F15+H15</f>
        <v>4.0136138907027202E-4</v>
      </c>
    </row>
    <row r="16" spans="1:20" x14ac:dyDescent="0.2">
      <c r="A16" t="s">
        <v>20</v>
      </c>
      <c r="B16" t="s">
        <v>22</v>
      </c>
      <c r="C16">
        <v>9.4361850000000002E-6</v>
      </c>
      <c r="D16">
        <v>8.5852886489089835E-5</v>
      </c>
      <c r="E16">
        <v>2.178E-8</v>
      </c>
      <c r="F16">
        <f t="shared" ref="F16:F23" si="0">SUM(C16:E16)</f>
        <v>9.5310851489089843E-5</v>
      </c>
      <c r="G16">
        <v>2.5000000000000002E-6</v>
      </c>
      <c r="H16">
        <v>2.9999999999999997E-4</v>
      </c>
      <c r="I16">
        <v>2.5000000000000002E-6</v>
      </c>
      <c r="J16">
        <f t="shared" ref="J16:J23" si="1">F16+G16</f>
        <v>9.7810851489089849E-5</v>
      </c>
      <c r="K16">
        <f t="shared" ref="K16:K23" si="2">I16+F16</f>
        <v>9.7810851489089849E-5</v>
      </c>
      <c r="L16">
        <f t="shared" ref="L16:L23" si="3">F16+H16</f>
        <v>3.953108514890898E-4</v>
      </c>
    </row>
    <row r="17" spans="1:12" x14ac:dyDescent="0.2">
      <c r="A17" t="s">
        <v>20</v>
      </c>
      <c r="B17" t="s">
        <v>23</v>
      </c>
      <c r="C17">
        <v>2.196513E-5</v>
      </c>
      <c r="D17">
        <v>1.1812970985287121E-4</v>
      </c>
      <c r="E17">
        <v>0</v>
      </c>
      <c r="F17">
        <f t="shared" si="0"/>
        <v>1.400948398528712E-4</v>
      </c>
      <c r="G17">
        <v>2.5000000000000002E-6</v>
      </c>
      <c r="H17">
        <v>2.9999999999999997E-4</v>
      </c>
      <c r="I17">
        <v>2.5000000000000002E-6</v>
      </c>
      <c r="J17">
        <f t="shared" si="1"/>
        <v>1.4259483985287121E-4</v>
      </c>
      <c r="K17">
        <f t="shared" si="2"/>
        <v>1.4259483985287121E-4</v>
      </c>
      <c r="L17">
        <f t="shared" si="3"/>
        <v>4.400948398528712E-4</v>
      </c>
    </row>
    <row r="18" spans="1:12" x14ac:dyDescent="0.2">
      <c r="A18" t="s">
        <v>24</v>
      </c>
      <c r="B18" t="s">
        <v>21</v>
      </c>
      <c r="C18">
        <v>1.6335E-8</v>
      </c>
      <c r="D18">
        <v>8.9254349583251489E-5</v>
      </c>
      <c r="E18">
        <v>0</v>
      </c>
      <c r="F18">
        <f t="shared" si="0"/>
        <v>8.9270684583251487E-5</v>
      </c>
      <c r="G18">
        <v>2.5000000000000002E-6</v>
      </c>
      <c r="H18">
        <v>5.0000000000000002E-5</v>
      </c>
      <c r="I18">
        <v>2.5000000000000002E-6</v>
      </c>
      <c r="J18">
        <f t="shared" si="1"/>
        <v>9.1770684583251493E-5</v>
      </c>
      <c r="K18">
        <f t="shared" si="2"/>
        <v>9.1770684583251493E-5</v>
      </c>
      <c r="L18">
        <f t="shared" si="3"/>
        <v>1.3927068458325148E-4</v>
      </c>
    </row>
    <row r="19" spans="1:12" x14ac:dyDescent="0.2">
      <c r="A19" t="s">
        <v>24</v>
      </c>
      <c r="B19" t="s">
        <v>22</v>
      </c>
      <c r="C19">
        <v>5.4450000000000008E-8</v>
      </c>
      <c r="D19">
        <v>4.4143455307411498E-5</v>
      </c>
      <c r="E19">
        <v>2.7225000000000001E-8</v>
      </c>
      <c r="F19">
        <f t="shared" si="0"/>
        <v>4.4225130307411499E-5</v>
      </c>
      <c r="G19">
        <v>2.5000000000000002E-6</v>
      </c>
      <c r="H19">
        <v>5.0000000000000002E-5</v>
      </c>
      <c r="I19">
        <v>2.5000000000000002E-6</v>
      </c>
      <c r="J19">
        <f t="shared" si="1"/>
        <v>4.6725130307411499E-5</v>
      </c>
      <c r="K19">
        <f t="shared" si="2"/>
        <v>4.6725130307411499E-5</v>
      </c>
      <c r="L19">
        <f t="shared" si="3"/>
        <v>9.4225130307411508E-5</v>
      </c>
    </row>
    <row r="20" spans="1:12" x14ac:dyDescent="0.2">
      <c r="A20" t="s">
        <v>24</v>
      </c>
      <c r="B20" t="s">
        <v>25</v>
      </c>
      <c r="C20">
        <v>7.0785000000000008E-8</v>
      </c>
      <c r="D20">
        <v>8.3483871098548627E-5</v>
      </c>
      <c r="E20">
        <v>3.8115000000000001E-8</v>
      </c>
      <c r="F20">
        <f t="shared" si="0"/>
        <v>8.3592771098548629E-5</v>
      </c>
      <c r="G20">
        <v>2.5000000000000002E-6</v>
      </c>
      <c r="H20">
        <v>5.0000000000000002E-5</v>
      </c>
      <c r="I20">
        <v>2.5000000000000002E-6</v>
      </c>
      <c r="J20">
        <f t="shared" si="1"/>
        <v>8.6092771098548635E-5</v>
      </c>
      <c r="K20">
        <f t="shared" si="2"/>
        <v>8.6092771098548635E-5</v>
      </c>
      <c r="L20">
        <f t="shared" si="3"/>
        <v>1.3359277109854862E-4</v>
      </c>
    </row>
    <row r="21" spans="1:12" x14ac:dyDescent="0.2">
      <c r="A21" t="s">
        <v>26</v>
      </c>
      <c r="B21" t="s">
        <v>21</v>
      </c>
      <c r="C21">
        <v>6.5340000000000001E-8</v>
      </c>
      <c r="D21">
        <v>5.5222858779356563E-6</v>
      </c>
      <c r="E21">
        <v>2.7225000000000001E-8</v>
      </c>
      <c r="F21">
        <f t="shared" si="0"/>
        <v>5.614850877935657E-6</v>
      </c>
      <c r="G21">
        <v>2.5000000000000002E-6</v>
      </c>
      <c r="H21">
        <v>5.0000000000000004E-6</v>
      </c>
      <c r="I21">
        <v>2.5000000000000002E-6</v>
      </c>
      <c r="J21">
        <f t="shared" si="1"/>
        <v>8.1148508779356576E-6</v>
      </c>
      <c r="K21">
        <f t="shared" si="2"/>
        <v>8.1148508779356576E-6</v>
      </c>
      <c r="L21">
        <f t="shared" si="3"/>
        <v>1.0614850877935657E-5</v>
      </c>
    </row>
    <row r="22" spans="1:12" x14ac:dyDescent="0.2">
      <c r="A22" t="s">
        <v>26</v>
      </c>
      <c r="B22" t="s">
        <v>22</v>
      </c>
      <c r="C22">
        <v>8.7120000000000015E-8</v>
      </c>
      <c r="D22">
        <v>2.3866612521114729E-6</v>
      </c>
      <c r="E22">
        <v>4.3560000000000008E-8</v>
      </c>
      <c r="F22">
        <f t="shared" si="0"/>
        <v>2.5173412521114731E-6</v>
      </c>
      <c r="G22">
        <v>2.5000000000000002E-6</v>
      </c>
      <c r="H22">
        <v>5.0000000000000004E-6</v>
      </c>
      <c r="I22">
        <v>2.5000000000000002E-6</v>
      </c>
      <c r="J22">
        <f t="shared" si="1"/>
        <v>5.0173412521114733E-6</v>
      </c>
      <c r="K22">
        <f t="shared" si="2"/>
        <v>5.0173412521114733E-6</v>
      </c>
      <c r="L22">
        <f t="shared" si="3"/>
        <v>7.5173412521114731E-6</v>
      </c>
    </row>
    <row r="23" spans="1:12" x14ac:dyDescent="0.2">
      <c r="A23" t="s">
        <v>26</v>
      </c>
      <c r="B23" t="s">
        <v>25</v>
      </c>
      <c r="C23">
        <v>4.9005000000000008E-8</v>
      </c>
      <c r="D23">
        <v>1.47926173284892E-6</v>
      </c>
      <c r="E23">
        <v>4.3560000000000008E-8</v>
      </c>
      <c r="F23">
        <f t="shared" si="0"/>
        <v>1.57182673284892E-6</v>
      </c>
      <c r="G23">
        <v>2.5000000000000002E-6</v>
      </c>
      <c r="H23">
        <v>5.0000000000000004E-6</v>
      </c>
      <c r="I23">
        <v>2.5000000000000002E-6</v>
      </c>
      <c r="J23">
        <f t="shared" si="1"/>
        <v>4.0718267328489198E-6</v>
      </c>
      <c r="K23">
        <f t="shared" si="2"/>
        <v>4.0718267328489198E-6</v>
      </c>
      <c r="L23">
        <f t="shared" si="3"/>
        <v>6.5718267328489205E-6</v>
      </c>
    </row>
    <row r="25" spans="1:12" x14ac:dyDescent="0.2">
      <c r="A25" s="1"/>
      <c r="B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Tristan Caro</cp:lastModifiedBy>
  <dcterms:created xsi:type="dcterms:W3CDTF">2025-05-19T16:52:15Z</dcterms:created>
  <dcterms:modified xsi:type="dcterms:W3CDTF">2025-07-19T01:26:10Z</dcterms:modified>
</cp:coreProperties>
</file>